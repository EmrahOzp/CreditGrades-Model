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8730" codeName="{91B80F79-697F-C00D-A1F8-6C9A07846A5C}"/>
  <workbookPr codeName="ThisWorkbook" defaultThemeVersion="166925"/>
  <mc:AlternateContent xmlns:mc="http://schemas.openxmlformats.org/markup-compatibility/2006">
    <mc:Choice Requires="x15">
      <x15ac:absPath xmlns:x15ac="http://schemas.microsoft.com/office/spreadsheetml/2010/11/ac" url="C:\Users\Gebruiker\Documents\credit risk modelling\"/>
    </mc:Choice>
  </mc:AlternateContent>
  <bookViews>
    <workbookView xWindow="0" yWindow="0" windowWidth="24000" windowHeight="9510"/>
  </bookViews>
  <sheets>
    <sheet name="Sheet1" sheetId="1" r:id="rId1"/>
    <sheet name="Sheet2" sheetId="2" r:id="rId2"/>
  </sheets>
  <functionGroups builtInGroupCount="19"/>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29" i="1" l="1"/>
  <c r="B28" i="1"/>
  <c r="B26" i="1"/>
  <c r="B25" i="1"/>
  <c r="B24" i="1"/>
  <c r="B18" i="1"/>
  <c r="B17" i="1"/>
  <c r="E13" i="1"/>
  <c r="E14" i="1" s="1"/>
  <c r="E12" i="1"/>
  <c r="F6" i="2"/>
  <c r="F7" i="2"/>
  <c r="F11" i="2"/>
  <c r="F15" i="2"/>
  <c r="F19" i="2"/>
  <c r="F23" i="2"/>
  <c r="F13" i="2"/>
  <c r="F21" i="2"/>
  <c r="F14" i="2"/>
  <c r="F22" i="2"/>
  <c r="F8" i="2"/>
  <c r="F12" i="2"/>
  <c r="F16" i="2"/>
  <c r="F20" i="2"/>
  <c r="F24" i="2"/>
  <c r="F9" i="2"/>
  <c r="F17" i="2"/>
  <c r="F10" i="2"/>
  <c r="F18" i="2"/>
  <c r="B19" i="1" l="1"/>
</calcChain>
</file>

<file path=xl/comments1.xml><?xml version="1.0" encoding="utf-8"?>
<comments xmlns="http://schemas.openxmlformats.org/spreadsheetml/2006/main">
  <authors>
    <author>Emrah Ozpeynirci</author>
  </authors>
  <commentList>
    <comment ref="B28" authorId="0" shapeId="0">
      <text>
        <r>
          <rPr>
            <b/>
            <sz val="9"/>
            <color indexed="81"/>
            <rFont val="Tahoma"/>
            <family val="2"/>
          </rPr>
          <t>Emrah Ozpeynirci:</t>
        </r>
        <r>
          <rPr>
            <sz val="9"/>
            <color indexed="81"/>
            <rFont val="Tahoma"/>
            <family val="2"/>
          </rPr>
          <t xml:space="preserve">
the survival probability over the next year</t>
        </r>
      </text>
    </comment>
    <comment ref="B29" authorId="0" shapeId="0">
      <text>
        <r>
          <rPr>
            <b/>
            <sz val="9"/>
            <color indexed="81"/>
            <rFont val="Tahoma"/>
            <family val="2"/>
          </rPr>
          <t>Emrah Ozpeynirci:</t>
        </r>
        <r>
          <rPr>
            <sz val="9"/>
            <color indexed="81"/>
            <rFont val="Tahoma"/>
            <family val="2"/>
          </rPr>
          <t xml:space="preserve">
one year default probability</t>
        </r>
      </text>
    </comment>
  </commentList>
</comments>
</file>

<file path=xl/comments2.xml><?xml version="1.0" encoding="utf-8"?>
<comments xmlns="http://schemas.openxmlformats.org/spreadsheetml/2006/main">
  <authors>
    <author>Emrah Ozpeynirci</author>
  </authors>
  <commentList>
    <comment ref="B4" authorId="0" shapeId="0">
      <text>
        <r>
          <rPr>
            <b/>
            <sz val="9"/>
            <color indexed="81"/>
            <rFont val="Tahoma"/>
            <family val="2"/>
          </rPr>
          <t>Emrah Ozpeynirci:</t>
        </r>
        <r>
          <rPr>
            <sz val="9"/>
            <color indexed="81"/>
            <rFont val="Tahoma"/>
            <family val="2"/>
          </rPr>
          <t xml:space="preserve">
end of quarter stock prices</t>
        </r>
      </text>
    </comment>
    <comment ref="C4" authorId="0" shapeId="0">
      <text>
        <r>
          <rPr>
            <b/>
            <sz val="9"/>
            <color indexed="81"/>
            <rFont val="Tahoma"/>
            <family val="2"/>
          </rPr>
          <t>Emrah Ozpeynirci:</t>
        </r>
        <r>
          <rPr>
            <sz val="9"/>
            <color indexed="81"/>
            <rFont val="Tahoma"/>
            <family val="2"/>
          </rPr>
          <t xml:space="preserve">
calculated from each quarterly report</t>
        </r>
      </text>
    </comment>
    <comment ref="D4" authorId="0" shapeId="0">
      <text>
        <r>
          <rPr>
            <b/>
            <sz val="9"/>
            <color indexed="81"/>
            <rFont val="Tahoma"/>
            <family val="2"/>
          </rPr>
          <t>Emrah Ozpeynirci:</t>
        </r>
        <r>
          <rPr>
            <sz val="9"/>
            <color indexed="81"/>
            <rFont val="Tahoma"/>
            <family val="2"/>
          </rPr>
          <t xml:space="preserve">
historical volatility over 90 days</t>
        </r>
      </text>
    </comment>
  </commentList>
</comments>
</file>

<file path=xl/sharedStrings.xml><?xml version="1.0" encoding="utf-8"?>
<sst xmlns="http://schemas.openxmlformats.org/spreadsheetml/2006/main" count="81" uniqueCount="63">
  <si>
    <t>CreditGrades Model</t>
  </si>
  <si>
    <t>Parameters</t>
  </si>
  <si>
    <r>
      <t xml:space="preserve">Global Recovery </t>
    </r>
    <r>
      <rPr>
        <sz val="11"/>
        <color theme="1"/>
        <rFont val="Calibri"/>
        <family val="2"/>
      </rPr>
      <t>Λ</t>
    </r>
  </si>
  <si>
    <t>Volatility of the barrier</t>
  </si>
  <si>
    <t>time(yrs)</t>
  </si>
  <si>
    <t>Company Information</t>
  </si>
  <si>
    <t>Balance Sheet</t>
  </si>
  <si>
    <t>Market</t>
  </si>
  <si>
    <t>short term borrowings</t>
  </si>
  <si>
    <t>Long term barrowings</t>
  </si>
  <si>
    <t>Other Short term liabilities</t>
  </si>
  <si>
    <t>Other long term liabilities</t>
  </si>
  <si>
    <t>Preffered equity</t>
  </si>
  <si>
    <t>Minority interest</t>
  </si>
  <si>
    <t>Financial debt</t>
  </si>
  <si>
    <t>debt</t>
  </si>
  <si>
    <t>debt-per-share</t>
  </si>
  <si>
    <t>Market cap (in mio)</t>
  </si>
  <si>
    <t>stock price S</t>
  </si>
  <si>
    <t># of common shares in mio</t>
  </si>
  <si>
    <t># preffered shares</t>
  </si>
  <si>
    <t># shares</t>
  </si>
  <si>
    <t>Hist. Vol (200D)</t>
  </si>
  <si>
    <t>ATM impl. Vol</t>
  </si>
  <si>
    <t>used vol.</t>
  </si>
  <si>
    <t>Risk free rate over T</t>
  </si>
  <si>
    <t>CreditGrades Calculation</t>
  </si>
  <si>
    <r>
      <t xml:space="preserve">S+ </t>
    </r>
    <r>
      <rPr>
        <sz val="11"/>
        <color theme="1"/>
        <rFont val="Calibri"/>
        <family val="2"/>
      </rPr>
      <t>Λ D</t>
    </r>
  </si>
  <si>
    <t>d</t>
  </si>
  <si>
    <t>α</t>
  </si>
  <si>
    <t>prob (survival)</t>
  </si>
  <si>
    <t>PD</t>
  </si>
  <si>
    <r>
      <t xml:space="preserve">Global recovery </t>
    </r>
    <r>
      <rPr>
        <sz val="10"/>
        <rFont val="Symbol"/>
        <family val="1"/>
        <charset val="2"/>
      </rPr>
      <t>L</t>
    </r>
  </si>
  <si>
    <t>Time (yrs)</t>
  </si>
  <si>
    <t>Date</t>
  </si>
  <si>
    <t>Share Price</t>
  </si>
  <si>
    <t>Debt-per-Share</t>
  </si>
  <si>
    <t>Hist. 30D Vola (%)</t>
  </si>
  <si>
    <t>S&amp;P Rating</t>
  </si>
  <si>
    <t>(adj.)</t>
  </si>
  <si>
    <t>Q4 2003</t>
  </si>
  <si>
    <t>A+</t>
  </si>
  <si>
    <t>Q1 2004</t>
  </si>
  <si>
    <t>Q2 2004</t>
  </si>
  <si>
    <t>Q3 2004</t>
  </si>
  <si>
    <t>Q4 2004</t>
  </si>
  <si>
    <t>Q1 2005</t>
  </si>
  <si>
    <t>Q2 2005</t>
  </si>
  <si>
    <t>Q3 2005</t>
  </si>
  <si>
    <t>Q4 2005</t>
  </si>
  <si>
    <t>A</t>
  </si>
  <si>
    <t>Q1 2006</t>
  </si>
  <si>
    <t>Q2 2006</t>
  </si>
  <si>
    <t>Q3 2006</t>
  </si>
  <si>
    <t>Q4 2006</t>
  </si>
  <si>
    <t>Q1 2007</t>
  </si>
  <si>
    <t>Q2 2007</t>
  </si>
  <si>
    <t>Q3 2007</t>
  </si>
  <si>
    <t>Q4 2007</t>
  </si>
  <si>
    <t>Q1 2008</t>
  </si>
  <si>
    <t>Q2 2008</t>
  </si>
  <si>
    <t>Creditgrades</t>
  </si>
  <si>
    <t>1yr PD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</si>
</sst>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00%"/>
    <numFmt numFmtId="165" formatCode="0.0"/>
  </numFmts>
  <fonts count="10" x14ac:knownFonts="1">
    <font>
      <sz val="11"/>
      <color theme="1"/>
      <name val="Calibri"/>
      <family val="2"/>
      <scheme val="minor"/>
    </font>
    <font>
      <sz val="11"/>
      <color rgb="FF006100"/>
      <name val="Calibri"/>
      <family val="2"/>
      <scheme val="minor"/>
    </font>
    <font>
      <b/>
      <sz val="11"/>
      <color theme="1"/>
      <name val="Calibri"/>
      <family val="2"/>
      <scheme val="minor"/>
    </font>
    <font>
      <sz val="11"/>
      <color theme="1"/>
      <name val="Calibri"/>
      <family val="2"/>
    </font>
    <font>
      <sz val="9"/>
      <color indexed="81"/>
      <name val="Tahoma"/>
      <family val="2"/>
    </font>
    <font>
      <b/>
      <sz val="9"/>
      <color indexed="81"/>
      <name val="Tahoma"/>
      <family val="2"/>
    </font>
    <font>
      <sz val="10"/>
      <name val="Symbol"/>
      <family val="1"/>
      <charset val="2"/>
    </font>
    <font>
      <sz val="10"/>
      <name val="Arial"/>
      <family val="2"/>
    </font>
    <font>
      <b/>
      <sz val="11"/>
      <color indexed="8"/>
      <name val="Calibri"/>
      <family val="2"/>
    </font>
    <font>
      <sz val="11"/>
      <color indexed="8"/>
      <name val="Calibri"/>
      <family val="2"/>
    </font>
  </fonts>
  <fills count="3">
    <fill>
      <patternFill patternType="none"/>
    </fill>
    <fill>
      <patternFill patternType="gray125"/>
    </fill>
    <fill>
      <patternFill patternType="solid">
        <fgColor rgb="FFC6EFCE"/>
      </patternFill>
    </fill>
  </fills>
  <borders count="7">
    <border>
      <left/>
      <right/>
      <top/>
      <bottom/>
      <diagonal/>
    </border>
    <border>
      <left/>
      <right/>
      <top style="medium">
        <color indexed="8"/>
      </top>
      <bottom/>
      <diagonal/>
    </border>
    <border>
      <left/>
      <right/>
      <top/>
      <bottom style="medium">
        <color indexed="64"/>
      </bottom>
      <diagonal/>
    </border>
    <border>
      <left/>
      <right/>
      <top style="medium">
        <color indexed="64"/>
      </top>
      <bottom/>
      <diagonal/>
    </border>
    <border>
      <left/>
      <right/>
      <top/>
      <bottom style="medium">
        <color indexed="8"/>
      </bottom>
      <diagonal/>
    </border>
    <border>
      <left/>
      <right/>
      <top style="thin">
        <color indexed="64"/>
      </top>
      <bottom/>
      <diagonal/>
    </border>
    <border>
      <left/>
      <right/>
      <top/>
      <bottom style="thin">
        <color indexed="64"/>
      </bottom>
      <diagonal/>
    </border>
  </borders>
  <cellStyleXfs count="2">
    <xf numFmtId="0" fontId="0" fillId="0" borderId="0"/>
    <xf numFmtId="0" fontId="1" fillId="2" borderId="0" applyNumberFormat="0" applyBorder="0" applyAlignment="0" applyProtection="0"/>
  </cellStyleXfs>
  <cellXfs count="28">
    <xf numFmtId="0" fontId="0" fillId="0" borderId="0" xfId="0"/>
    <xf numFmtId="9" fontId="0" fillId="0" borderId="0" xfId="0" applyNumberFormat="1"/>
    <xf numFmtId="0" fontId="2" fillId="0" borderId="0" xfId="0" applyFont="1"/>
    <xf numFmtId="10" fontId="0" fillId="0" borderId="0" xfId="0" applyNumberFormat="1"/>
    <xf numFmtId="0" fontId="3" fillId="0" borderId="0" xfId="0" applyFont="1"/>
    <xf numFmtId="0" fontId="1" fillId="2" borderId="0" xfId="1"/>
    <xf numFmtId="164" fontId="1" fillId="2" borderId="0" xfId="1" applyNumberFormat="1"/>
    <xf numFmtId="0" fontId="7" fillId="0" borderId="1" xfId="0" applyFont="1" applyBorder="1" applyAlignment="1">
      <alignment horizontal="center" vertical="top"/>
    </xf>
    <xf numFmtId="0" fontId="7" fillId="0" borderId="2" xfId="0" applyFont="1" applyBorder="1" applyAlignment="1">
      <alignment horizontal="center" vertical="top"/>
    </xf>
    <xf numFmtId="14" fontId="8" fillId="0" borderId="0" xfId="0" applyNumberFormat="1" applyFont="1" applyAlignment="1">
      <alignment horizontal="center" vertical="top"/>
    </xf>
    <xf numFmtId="165" fontId="9" fillId="0" borderId="3" xfId="0" applyNumberFormat="1" applyFont="1" applyBorder="1" applyAlignment="1">
      <alignment horizontal="right"/>
    </xf>
    <xf numFmtId="165" fontId="9" fillId="0" borderId="0" xfId="0" applyNumberFormat="1" applyFont="1" applyAlignment="1">
      <alignment horizontal="right"/>
    </xf>
    <xf numFmtId="165" fontId="7" fillId="0" borderId="0" xfId="0" applyNumberFormat="1" applyFont="1" applyAlignment="1">
      <alignment horizontal="right" wrapText="1"/>
    </xf>
    <xf numFmtId="0" fontId="7" fillId="0" borderId="0" xfId="0" applyFont="1" applyAlignment="1">
      <alignment horizontal="center" vertical="top"/>
    </xf>
    <xf numFmtId="0" fontId="9" fillId="0" borderId="0" xfId="0" applyFont="1" applyAlignment="1">
      <alignment horizontal="center" vertical="top"/>
    </xf>
    <xf numFmtId="165" fontId="9" fillId="0" borderId="0" xfId="0" applyNumberFormat="1" applyFont="1" applyAlignment="1">
      <alignment horizontal="right" wrapText="1"/>
    </xf>
    <xf numFmtId="14" fontId="8" fillId="0" borderId="4" xfId="0" applyNumberFormat="1" applyFont="1" applyBorder="1" applyAlignment="1">
      <alignment horizontal="center" vertical="top"/>
    </xf>
    <xf numFmtId="165" fontId="9" fillId="0" borderId="4" xfId="0" applyNumberFormat="1" applyFont="1" applyBorder="1" applyAlignment="1">
      <alignment horizontal="right"/>
    </xf>
    <xf numFmtId="165" fontId="7" fillId="0" borderId="4" xfId="0" applyNumberFormat="1" applyFont="1" applyBorder="1" applyAlignment="1">
      <alignment horizontal="right" wrapText="1"/>
    </xf>
    <xf numFmtId="0" fontId="9" fillId="0" borderId="4" xfId="0" applyFont="1" applyBorder="1" applyAlignment="1">
      <alignment horizontal="center" vertical="top"/>
    </xf>
    <xf numFmtId="0" fontId="0" fillId="0" borderId="5" xfId="0" applyBorder="1"/>
    <xf numFmtId="0" fontId="0" fillId="0" borderId="6" xfId="0" applyBorder="1"/>
    <xf numFmtId="2" fontId="0" fillId="0" borderId="0" xfId="0" applyNumberFormat="1"/>
    <xf numFmtId="0" fontId="2" fillId="0" borderId="0" xfId="0" applyFont="1" applyAlignment="1">
      <alignment horizontal="center"/>
    </xf>
    <xf numFmtId="0" fontId="7" fillId="0" borderId="1" xfId="0" applyFont="1" applyBorder="1" applyAlignment="1">
      <alignment horizontal="center" vertical="top"/>
    </xf>
    <xf numFmtId="0" fontId="7" fillId="0" borderId="2" xfId="0" applyFont="1" applyBorder="1" applyAlignment="1">
      <alignment horizontal="center" vertical="top"/>
    </xf>
    <xf numFmtId="0" fontId="7" fillId="0" borderId="1" xfId="0" applyFont="1" applyBorder="1" applyAlignment="1">
      <alignment horizontal="center" vertical="top" wrapText="1"/>
    </xf>
    <xf numFmtId="0" fontId="7" fillId="0" borderId="2" xfId="0" applyFont="1" applyBorder="1" applyAlignment="1">
      <alignment horizontal="center" vertical="top" wrapText="1"/>
    </xf>
  </cellXfs>
  <cellStyles count="2">
    <cellStyle name="Good" xfId="1" builtinId="26"/>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5</xdr:col>
      <xdr:colOff>485775</xdr:colOff>
      <xdr:row>0</xdr:row>
      <xdr:rowOff>142875</xdr:rowOff>
    </xdr:from>
    <xdr:to>
      <xdr:col>14</xdr:col>
      <xdr:colOff>238125</xdr:colOff>
      <xdr:row>19</xdr:row>
      <xdr:rowOff>0</xdr:rowOff>
    </xdr:to>
    <xdr:sp macro="" textlink="">
      <xdr:nvSpPr>
        <xdr:cNvPr id="2" name="TextBox 1">
          <a:extLst>
            <a:ext uri="{FF2B5EF4-FFF2-40B4-BE49-F238E27FC236}">
              <a16:creationId xmlns:a16="http://schemas.microsoft.com/office/drawing/2014/main" id="{456B8FC2-2DD6-4FB4-A529-01E91A2AE24E}"/>
            </a:ext>
          </a:extLst>
        </xdr:cNvPr>
        <xdr:cNvSpPr txBox="1"/>
      </xdr:nvSpPr>
      <xdr:spPr>
        <a:xfrm>
          <a:off x="5219700" y="142875"/>
          <a:ext cx="5238750" cy="34766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Creditgrades, is an alternative structural</a:t>
          </a:r>
          <a:r>
            <a:rPr lang="en-GB" sz="1100" baseline="0"/>
            <a:t> modelling approach. in this model, default occurs if the asset value of the firm drops below a random barrier. the randomness of the barrier is the main difference when compared to the other models. it captures the fact that we usually do not know the level of firm's liabilities untill the firm defaults. </a:t>
          </a:r>
        </a:p>
        <a:p>
          <a:endParaRPr lang="en-GB" sz="1100" baseline="0"/>
        </a:p>
        <a:p>
          <a:r>
            <a:rPr lang="en-GB" sz="1100" baseline="0"/>
            <a:t>CG model, assumes that default can occur at any time , whereas default in the classical Merton model occurs only at maturity.</a:t>
          </a:r>
        </a:p>
        <a:p>
          <a:endParaRPr lang="en-GB" sz="1100" baseline="0"/>
        </a:p>
        <a:p>
          <a:r>
            <a:rPr lang="en-GB" sz="1100" baseline="0"/>
            <a:t>The parameters;</a:t>
          </a:r>
        </a:p>
        <a:p>
          <a:endParaRPr lang="en-GB" sz="1100" baseline="0"/>
        </a:p>
        <a:p>
          <a:r>
            <a:rPr lang="en-GB" sz="1100" baseline="0"/>
            <a:t>The number of shares used for computing per-share figure is the number of common shares plus the number of preffered shares. </a:t>
          </a:r>
        </a:p>
        <a:p>
          <a:r>
            <a:rPr lang="en-GB" sz="1100" baseline="0"/>
            <a:t>the number of common shares can be determined by dividing the company's MC by current stock price. the number of preffered shares is calculated by dividing the book value of prefffered shares by the price of common stock from the reporting date of book value. </a:t>
          </a:r>
        </a:p>
        <a:p>
          <a:endParaRPr lang="en-GB" sz="1100" baseline="0"/>
        </a:p>
        <a:p>
          <a:r>
            <a:rPr lang="en-GB" sz="1100" baseline="0"/>
            <a:t>the debt per share meaure is calculated by dividing liabilities by the number of shares. </a:t>
          </a:r>
          <a:endParaRPr lang="en-GB"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12</xdr:col>
      <xdr:colOff>104775</xdr:colOff>
      <xdr:row>2</xdr:row>
      <xdr:rowOff>0</xdr:rowOff>
    </xdr:from>
    <xdr:to>
      <xdr:col>23</xdr:col>
      <xdr:colOff>47625</xdr:colOff>
      <xdr:row>16</xdr:row>
      <xdr:rowOff>47625</xdr:rowOff>
    </xdr:to>
    <xdr:sp macro="" textlink="">
      <xdr:nvSpPr>
        <xdr:cNvPr id="2" name="TextBox 1">
          <a:extLst>
            <a:ext uri="{FF2B5EF4-FFF2-40B4-BE49-F238E27FC236}">
              <a16:creationId xmlns:a16="http://schemas.microsoft.com/office/drawing/2014/main" id="{7567EC7B-88F3-4863-9E20-49CD171A1972}"/>
            </a:ext>
          </a:extLst>
        </xdr:cNvPr>
        <xdr:cNvSpPr txBox="1"/>
      </xdr:nvSpPr>
      <xdr:spPr>
        <a:xfrm>
          <a:off x="7419975" y="381000"/>
          <a:ext cx="6648450" cy="27146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a:t>
          </a:r>
          <a:r>
            <a:rPr lang="en-GB" sz="1100" baseline="0"/>
            <a:t> case study shows the calculation of a time series of CreditGrade survival probabilities for one company, Lehman Brothers. </a:t>
          </a:r>
        </a:p>
        <a:p>
          <a:endParaRPr lang="en-GB" sz="1100" baseline="0"/>
        </a:p>
        <a:p>
          <a:r>
            <a:rPr lang="en-GB" sz="1100" baseline="0"/>
            <a:t>when dealing with time series, it is convenient to comprise the calculation in VBA function:</a:t>
          </a:r>
        </a:p>
        <a:p>
          <a:endParaRPr lang="en-GB" sz="1100" baseline="0"/>
        </a:p>
        <a:p>
          <a:r>
            <a:rPr lang="en-GB" sz="1100"/>
            <a:t>Function CG_PS(S, sigma_S, d, Lambda, sigma_B, t)</a:t>
          </a:r>
        </a:p>
        <a:p>
          <a:r>
            <a:rPr lang="en-GB" sz="1100"/>
            <a:t>'S= stock price, sigma_S=stock vola, D=Debt-per-share</a:t>
          </a:r>
        </a:p>
        <a:p>
          <a:r>
            <a:rPr lang="en-GB" sz="1100"/>
            <a:t>'Lambda=global recovery, s_B=vola of barrier, t=time</a:t>
          </a:r>
        </a:p>
        <a:p>
          <a:r>
            <a:rPr lang="en-GB" sz="1100"/>
            <a:t>d1 = (S + Lambda * d) * Exp(sigma_B ^ 2) / (Lambda * d)</a:t>
          </a:r>
        </a:p>
        <a:p>
          <a:r>
            <a:rPr lang="en-GB" sz="1100"/>
            <a:t>alpha = (((sigma_S * S) / (S + Lambda * d)) ^ 2 * t + sigma_B ^ 2) ^ 0.5</a:t>
          </a:r>
        </a:p>
        <a:p>
          <a:r>
            <a:rPr lang="en-GB" sz="1100"/>
            <a:t>CG_PS = Application.NormSDist(-(alpha / 2) + (Log(d1) / alpha)) - _</a:t>
          </a:r>
        </a:p>
        <a:p>
          <a:r>
            <a:rPr lang="en-GB" sz="1100"/>
            <a:t>       d1 * Application.NormSDist(-(alpha / 2) - (Log(d1) / alpha))</a:t>
          </a:r>
        </a:p>
        <a:p>
          <a:r>
            <a:rPr lang="en-GB" sz="1100"/>
            <a:t>End Function</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E29"/>
  <sheetViews>
    <sheetView tabSelected="1" workbookViewId="0">
      <selection activeCell="F28" sqref="F28"/>
    </sheetView>
  </sheetViews>
  <sheetFormatPr defaultRowHeight="15" x14ac:dyDescent="0.25"/>
  <cols>
    <col min="1" max="1" width="25.140625" bestFit="1" customWidth="1"/>
    <col min="4" max="4" width="18.42578125" bestFit="1" customWidth="1"/>
  </cols>
  <sheetData>
    <row r="1" spans="1:5" x14ac:dyDescent="0.25">
      <c r="A1" s="2" t="s">
        <v>0</v>
      </c>
    </row>
    <row r="3" spans="1:5" x14ac:dyDescent="0.25">
      <c r="A3" t="s">
        <v>1</v>
      </c>
    </row>
    <row r="4" spans="1:5" x14ac:dyDescent="0.25">
      <c r="A4" t="s">
        <v>2</v>
      </c>
      <c r="B4" s="1">
        <v>0.5</v>
      </c>
    </row>
    <row r="5" spans="1:5" x14ac:dyDescent="0.25">
      <c r="A5" t="s">
        <v>3</v>
      </c>
      <c r="B5" s="1">
        <v>0.3</v>
      </c>
    </row>
    <row r="6" spans="1:5" x14ac:dyDescent="0.25">
      <c r="A6" t="s">
        <v>4</v>
      </c>
      <c r="B6">
        <v>1</v>
      </c>
    </row>
    <row r="8" spans="1:5" x14ac:dyDescent="0.25">
      <c r="A8" s="23" t="s">
        <v>5</v>
      </c>
      <c r="B8" s="23"/>
      <c r="C8" s="23"/>
      <c r="D8" s="23"/>
      <c r="E8" s="23"/>
    </row>
    <row r="9" spans="1:5" x14ac:dyDescent="0.25">
      <c r="A9" s="2" t="s">
        <v>6</v>
      </c>
      <c r="D9" s="2" t="s">
        <v>7</v>
      </c>
    </row>
    <row r="10" spans="1:5" x14ac:dyDescent="0.25">
      <c r="A10" t="s">
        <v>8</v>
      </c>
      <c r="B10">
        <v>78.5</v>
      </c>
      <c r="D10" t="s">
        <v>17</v>
      </c>
      <c r="E10">
        <v>2461</v>
      </c>
    </row>
    <row r="11" spans="1:5" x14ac:dyDescent="0.25">
      <c r="A11" t="s">
        <v>9</v>
      </c>
      <c r="B11">
        <v>774.43</v>
      </c>
      <c r="D11" t="s">
        <v>18</v>
      </c>
      <c r="E11">
        <v>41.88</v>
      </c>
    </row>
    <row r="12" spans="1:5" x14ac:dyDescent="0.25">
      <c r="A12" t="s">
        <v>10</v>
      </c>
      <c r="B12">
        <v>215.77</v>
      </c>
      <c r="D12" t="s">
        <v>19</v>
      </c>
      <c r="E12">
        <f>E10/E11</f>
        <v>58.763132760267425</v>
      </c>
    </row>
    <row r="13" spans="1:5" x14ac:dyDescent="0.25">
      <c r="A13" t="s">
        <v>11</v>
      </c>
      <c r="B13">
        <v>359.81</v>
      </c>
      <c r="D13" t="s">
        <v>20</v>
      </c>
      <c r="E13">
        <f>MIN(0.5*E12,B14/E10)</f>
        <v>0</v>
      </c>
    </row>
    <row r="14" spans="1:5" x14ac:dyDescent="0.25">
      <c r="A14" t="s">
        <v>12</v>
      </c>
      <c r="B14">
        <v>0</v>
      </c>
      <c r="D14" t="s">
        <v>21</v>
      </c>
      <c r="E14">
        <f>E12+E13</f>
        <v>58.763132760267425</v>
      </c>
    </row>
    <row r="15" spans="1:5" x14ac:dyDescent="0.25">
      <c r="A15" t="s">
        <v>13</v>
      </c>
      <c r="B15">
        <v>0</v>
      </c>
    </row>
    <row r="16" spans="1:5" x14ac:dyDescent="0.25">
      <c r="D16" t="s">
        <v>22</v>
      </c>
      <c r="E16" s="1">
        <v>0.3</v>
      </c>
    </row>
    <row r="17" spans="1:5" x14ac:dyDescent="0.25">
      <c r="A17" t="s">
        <v>14</v>
      </c>
      <c r="B17">
        <f>B10+B11+0.5*(B12+B13)</f>
        <v>1140.72</v>
      </c>
      <c r="D17" t="s">
        <v>23</v>
      </c>
      <c r="E17" s="1">
        <v>0.33</v>
      </c>
    </row>
    <row r="18" spans="1:5" x14ac:dyDescent="0.25">
      <c r="A18" t="s">
        <v>15</v>
      </c>
      <c r="B18">
        <f>B17-MIN(0.5*B17,B15)</f>
        <v>1140.72</v>
      </c>
      <c r="D18" t="s">
        <v>24</v>
      </c>
      <c r="E18" s="1">
        <v>0.33</v>
      </c>
    </row>
    <row r="19" spans="1:5" x14ac:dyDescent="0.25">
      <c r="A19" t="s">
        <v>16</v>
      </c>
      <c r="B19">
        <f>B18/E14</f>
        <v>19.412171312474605</v>
      </c>
      <c r="D19" t="s">
        <v>25</v>
      </c>
      <c r="E19" s="3">
        <v>2.93E-2</v>
      </c>
    </row>
    <row r="22" spans="1:5" x14ac:dyDescent="0.25">
      <c r="A22" t="s">
        <v>26</v>
      </c>
    </row>
    <row r="24" spans="1:5" x14ac:dyDescent="0.25">
      <c r="A24" t="s">
        <v>27</v>
      </c>
      <c r="B24">
        <f>E11+B4*B19</f>
        <v>51.586085656237302</v>
      </c>
    </row>
    <row r="25" spans="1:5" x14ac:dyDescent="0.25">
      <c r="A25" t="s">
        <v>28</v>
      </c>
      <c r="B25">
        <f>(B24*EXP(B5^2))/(B4*B19)</f>
        <v>5.8153379561200413</v>
      </c>
    </row>
    <row r="26" spans="1:5" x14ac:dyDescent="0.25">
      <c r="A26" s="4" t="s">
        <v>29</v>
      </c>
      <c r="B26">
        <f>(((E18*E11)/(B24))^2*B6+B5^2)^0.5</f>
        <v>0.40221322094713563</v>
      </c>
    </row>
    <row r="28" spans="1:5" x14ac:dyDescent="0.25">
      <c r="A28" s="5" t="s">
        <v>30</v>
      </c>
      <c r="B28" s="6">
        <f>NORMSDIST(-(B26/2)+(LN(B25)/B26))-B25*NORMSDIST(-(B26/2)-(LN(B25)/B26))</f>
        <v>0.99997151994477884</v>
      </c>
    </row>
    <row r="29" spans="1:5" x14ac:dyDescent="0.25">
      <c r="A29" s="5" t="s">
        <v>31</v>
      </c>
      <c r="B29" s="6">
        <f>1-B28</f>
        <v>2.8480055221158374E-5</v>
      </c>
    </row>
  </sheetData>
  <mergeCells count="1">
    <mergeCell ref="A8:E8"/>
  </mergeCells>
  <pageMargins left="0.7" right="0.7" top="0.75" bottom="0.75" header="0.3" footer="0.3"/>
  <drawing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F24"/>
  <sheetViews>
    <sheetView workbookViewId="0">
      <selection activeCell="D8" sqref="D8"/>
    </sheetView>
  </sheetViews>
  <sheetFormatPr defaultRowHeight="15" x14ac:dyDescent="0.25"/>
  <cols>
    <col min="1" max="1" width="21.7109375" bestFit="1" customWidth="1"/>
    <col min="2" max="2" width="10.7109375" bestFit="1" customWidth="1"/>
    <col min="3" max="3" width="13.5703125" bestFit="1" customWidth="1"/>
    <col min="4" max="4" width="16.5703125" bestFit="1" customWidth="1"/>
    <col min="5" max="5" width="11.7109375" customWidth="1"/>
    <col min="6" max="6" width="12.85546875" customWidth="1"/>
  </cols>
  <sheetData>
    <row r="1" spans="1:6" x14ac:dyDescent="0.25">
      <c r="A1" t="s">
        <v>32</v>
      </c>
      <c r="B1" s="1">
        <v>0.5</v>
      </c>
    </row>
    <row r="2" spans="1:6" x14ac:dyDescent="0.25">
      <c r="A2" t="s">
        <v>3</v>
      </c>
      <c r="B2" s="1">
        <v>0.1</v>
      </c>
    </row>
    <row r="3" spans="1:6" ht="15.75" thickBot="1" x14ac:dyDescent="0.3">
      <c r="A3" t="s">
        <v>33</v>
      </c>
      <c r="B3">
        <v>1</v>
      </c>
    </row>
    <row r="4" spans="1:6" x14ac:dyDescent="0.25">
      <c r="A4" s="24" t="s">
        <v>34</v>
      </c>
      <c r="B4" s="7" t="s">
        <v>35</v>
      </c>
      <c r="C4" s="24" t="s">
        <v>36</v>
      </c>
      <c r="D4" s="26" t="s">
        <v>37</v>
      </c>
      <c r="E4" s="24" t="s">
        <v>38</v>
      </c>
      <c r="F4" s="20" t="s">
        <v>61</v>
      </c>
    </row>
    <row r="5" spans="1:6" ht="15.75" thickBot="1" x14ac:dyDescent="0.3">
      <c r="A5" s="25"/>
      <c r="B5" s="8" t="s">
        <v>39</v>
      </c>
      <c r="C5" s="25"/>
      <c r="D5" s="27"/>
      <c r="E5" s="25"/>
      <c r="F5" s="21" t="s">
        <v>62</v>
      </c>
    </row>
    <row r="6" spans="1:6" x14ac:dyDescent="0.25">
      <c r="A6" s="9" t="s">
        <v>40</v>
      </c>
      <c r="B6" s="10">
        <v>36.11</v>
      </c>
      <c r="C6" s="11">
        <v>69.956124186942304</v>
      </c>
      <c r="D6" s="12">
        <v>25.26</v>
      </c>
      <c r="E6" s="13" t="s">
        <v>41</v>
      </c>
      <c r="F6" s="22">
        <f>(1-CG_PS(B6,D6/100,C6,B$1,B$2,B$3))*100</f>
        <v>1.4031762415434024E-3</v>
      </c>
    </row>
    <row r="7" spans="1:6" x14ac:dyDescent="0.25">
      <c r="A7" s="9" t="s">
        <v>42</v>
      </c>
      <c r="B7" s="11">
        <v>43.36</v>
      </c>
      <c r="C7" s="11">
        <v>78.276344691154904</v>
      </c>
      <c r="D7" s="12">
        <v>24.74</v>
      </c>
      <c r="E7" s="13" t="s">
        <v>41</v>
      </c>
      <c r="F7" s="22">
        <f t="shared" ref="F7:F24" si="0">(1-CG_PS(B7,D7/100,C7,B$1,B$2,B$3))*100</f>
        <v>5.9488161505694137E-4</v>
      </c>
    </row>
    <row r="8" spans="1:6" x14ac:dyDescent="0.25">
      <c r="A8" s="9" t="s">
        <v>43</v>
      </c>
      <c r="B8" s="11">
        <v>37.83</v>
      </c>
      <c r="C8" s="11">
        <v>81.230372029015996</v>
      </c>
      <c r="D8" s="12">
        <v>27.92</v>
      </c>
      <c r="E8" s="13" t="s">
        <v>41</v>
      </c>
      <c r="F8" s="22">
        <f t="shared" si="0"/>
        <v>9.4171870121728674E-3</v>
      </c>
    </row>
    <row r="9" spans="1:6" x14ac:dyDescent="0.25">
      <c r="A9" s="9" t="s">
        <v>44</v>
      </c>
      <c r="B9" s="11">
        <v>36.950000000000003</v>
      </c>
      <c r="C9" s="11">
        <v>94.9308643568436</v>
      </c>
      <c r="D9" s="12">
        <v>25.11</v>
      </c>
      <c r="E9" s="13" t="s">
        <v>41</v>
      </c>
      <c r="F9" s="22">
        <f t="shared" si="0"/>
        <v>1.0806541153163263E-2</v>
      </c>
    </row>
    <row r="10" spans="1:6" x14ac:dyDescent="0.25">
      <c r="A10" s="9" t="s">
        <v>45</v>
      </c>
      <c r="B10" s="11">
        <v>41.89</v>
      </c>
      <c r="C10" s="11">
        <v>94.397837067664099</v>
      </c>
      <c r="D10" s="12">
        <v>22.01</v>
      </c>
      <c r="E10" s="13" t="s">
        <v>41</v>
      </c>
      <c r="F10" s="22">
        <f t="shared" si="0"/>
        <v>1.0102871701223037E-3</v>
      </c>
    </row>
    <row r="11" spans="1:6" x14ac:dyDescent="0.25">
      <c r="A11" s="9" t="s">
        <v>46</v>
      </c>
      <c r="B11" s="11">
        <v>45.59</v>
      </c>
      <c r="C11" s="11">
        <v>110.300286316903</v>
      </c>
      <c r="D11" s="12">
        <v>18.82</v>
      </c>
      <c r="E11" s="13" t="s">
        <v>41</v>
      </c>
      <c r="F11" s="22">
        <f t="shared" si="0"/>
        <v>4.2275924713175428E-4</v>
      </c>
    </row>
    <row r="12" spans="1:6" x14ac:dyDescent="0.25">
      <c r="A12" s="9" t="s">
        <v>47</v>
      </c>
      <c r="B12" s="11">
        <v>46.1</v>
      </c>
      <c r="C12" s="11">
        <v>113.76245298254101</v>
      </c>
      <c r="D12" s="12">
        <v>23.69</v>
      </c>
      <c r="E12" s="13" t="s">
        <v>41</v>
      </c>
      <c r="F12" s="22">
        <f t="shared" si="0"/>
        <v>4.6673155514542763E-3</v>
      </c>
    </row>
    <row r="13" spans="1:6" x14ac:dyDescent="0.25">
      <c r="A13" s="9" t="s">
        <v>48</v>
      </c>
      <c r="B13" s="11">
        <v>52.83</v>
      </c>
      <c r="C13" s="11">
        <v>121.73181740128101</v>
      </c>
      <c r="D13" s="12">
        <v>20.170000000000002</v>
      </c>
      <c r="E13" s="13" t="s">
        <v>41</v>
      </c>
      <c r="F13" s="22">
        <f t="shared" si="0"/>
        <v>4.9602316452013184E-4</v>
      </c>
    </row>
    <row r="14" spans="1:6" x14ac:dyDescent="0.25">
      <c r="A14" s="9" t="s">
        <v>49</v>
      </c>
      <c r="B14" s="11">
        <v>63</v>
      </c>
      <c r="C14" s="11">
        <v>106.057181588425</v>
      </c>
      <c r="D14" s="12">
        <v>25.22</v>
      </c>
      <c r="E14" s="14" t="s">
        <v>50</v>
      </c>
      <c r="F14" s="22">
        <f t="shared" si="0"/>
        <v>4.3184693133690999E-4</v>
      </c>
    </row>
    <row r="15" spans="1:6" x14ac:dyDescent="0.25">
      <c r="A15" s="9" t="s">
        <v>51</v>
      </c>
      <c r="B15" s="11">
        <v>72.98</v>
      </c>
      <c r="C15" s="11">
        <v>126.86238594037501</v>
      </c>
      <c r="D15" s="12">
        <v>23.03</v>
      </c>
      <c r="E15" s="14" t="s">
        <v>50</v>
      </c>
      <c r="F15" s="22">
        <f t="shared" si="0"/>
        <v>1.4937094983125121E-4</v>
      </c>
    </row>
    <row r="16" spans="1:6" x14ac:dyDescent="0.25">
      <c r="A16" s="9" t="s">
        <v>52</v>
      </c>
      <c r="B16" s="11">
        <v>66.61</v>
      </c>
      <c r="C16" s="11">
        <v>156.965652082643</v>
      </c>
      <c r="D16" s="12">
        <v>29.04</v>
      </c>
      <c r="E16" s="14" t="s">
        <v>50</v>
      </c>
      <c r="F16" s="22">
        <f t="shared" si="0"/>
        <v>2.4356909120493153E-2</v>
      </c>
    </row>
    <row r="17" spans="1:6" x14ac:dyDescent="0.25">
      <c r="A17" s="9" t="s">
        <v>53</v>
      </c>
      <c r="B17" s="11">
        <v>63.81</v>
      </c>
      <c r="C17" s="11">
        <v>121.607382237411</v>
      </c>
      <c r="D17" s="12">
        <v>27.9</v>
      </c>
      <c r="E17" s="14" t="s">
        <v>50</v>
      </c>
      <c r="F17" s="22">
        <f t="shared" si="0"/>
        <v>4.3260374183784478E-3</v>
      </c>
    </row>
    <row r="18" spans="1:6" x14ac:dyDescent="0.25">
      <c r="A18" s="9" t="s">
        <v>54</v>
      </c>
      <c r="B18" s="11">
        <v>73.67</v>
      </c>
      <c r="C18" s="11">
        <v>137.89191814332301</v>
      </c>
      <c r="D18" s="12">
        <v>29.01</v>
      </c>
      <c r="E18" s="14" t="s">
        <v>50</v>
      </c>
      <c r="F18" s="22">
        <f t="shared" si="0"/>
        <v>6.2136184459160582E-3</v>
      </c>
    </row>
    <row r="19" spans="1:6" x14ac:dyDescent="0.25">
      <c r="A19" s="9" t="s">
        <v>55</v>
      </c>
      <c r="B19" s="11">
        <v>73.31</v>
      </c>
      <c r="C19" s="11">
        <v>179.40880958924899</v>
      </c>
      <c r="D19" s="12">
        <v>30.82</v>
      </c>
      <c r="E19" s="14" t="s">
        <v>50</v>
      </c>
      <c r="F19" s="22">
        <f t="shared" si="0"/>
        <v>5.1351309838643111E-2</v>
      </c>
    </row>
    <row r="20" spans="1:6" x14ac:dyDescent="0.25">
      <c r="A20" s="9" t="s">
        <v>56</v>
      </c>
      <c r="B20" s="11">
        <v>73.38</v>
      </c>
      <c r="C20" s="11">
        <v>194.81148269340301</v>
      </c>
      <c r="D20" s="12">
        <v>27.6</v>
      </c>
      <c r="E20" s="14" t="s">
        <v>50</v>
      </c>
      <c r="F20" s="22">
        <f t="shared" si="0"/>
        <v>3.0430050198393399E-2</v>
      </c>
    </row>
    <row r="21" spans="1:6" x14ac:dyDescent="0.25">
      <c r="A21" s="9" t="s">
        <v>57</v>
      </c>
      <c r="B21" s="11">
        <v>54.83</v>
      </c>
      <c r="C21" s="11">
        <v>235.01156643479499</v>
      </c>
      <c r="D21" s="15">
        <v>34.89</v>
      </c>
      <c r="E21" s="14" t="s">
        <v>50</v>
      </c>
      <c r="F21" s="22">
        <f t="shared" si="0"/>
        <v>1.0364613739423323</v>
      </c>
    </row>
    <row r="22" spans="1:6" x14ac:dyDescent="0.25">
      <c r="A22" s="9" t="s">
        <v>58</v>
      </c>
      <c r="B22" s="11">
        <v>62.63</v>
      </c>
      <c r="C22" s="11">
        <v>239.89791723176899</v>
      </c>
      <c r="D22" s="12">
        <v>54.48</v>
      </c>
      <c r="E22" s="14" t="s">
        <v>50</v>
      </c>
      <c r="F22" s="22">
        <f t="shared" si="0"/>
        <v>5.2389117063980191</v>
      </c>
    </row>
    <row r="23" spans="1:6" x14ac:dyDescent="0.25">
      <c r="A23" s="9" t="s">
        <v>59</v>
      </c>
      <c r="B23" s="11">
        <v>50.99</v>
      </c>
      <c r="C23" s="11">
        <v>219.770486064659</v>
      </c>
      <c r="D23" s="12">
        <v>78.400000000000006</v>
      </c>
      <c r="E23" s="14" t="s">
        <v>50</v>
      </c>
      <c r="F23" s="22">
        <f t="shared" si="0"/>
        <v>17.429526999000622</v>
      </c>
    </row>
    <row r="24" spans="1:6" ht="15.75" thickBot="1" x14ac:dyDescent="0.3">
      <c r="A24" s="16" t="s">
        <v>60</v>
      </c>
      <c r="B24" s="17">
        <v>36.81</v>
      </c>
      <c r="C24" s="17">
        <v>127.8</v>
      </c>
      <c r="D24" s="18">
        <v>99.93</v>
      </c>
      <c r="E24" s="19" t="s">
        <v>50</v>
      </c>
      <c r="F24" s="22">
        <f t="shared" si="0"/>
        <v>27.408585807884258</v>
      </c>
    </row>
  </sheetData>
  <mergeCells count="4">
    <mergeCell ref="A4:A5"/>
    <mergeCell ref="C4:C5"/>
    <mergeCell ref="D4:D5"/>
    <mergeCell ref="E4:E5"/>
  </mergeCells>
  <pageMargins left="0.7" right="0.7" top="0.75" bottom="0.75" header="0.3" footer="0.3"/>
  <drawing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Sheet1</vt:lpstr>
      <vt:lpstr>Sheet2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Emrah Ozpeynirci</dc:creator>
  <cp:lastModifiedBy>Emrah Ozpeynirci</cp:lastModifiedBy>
  <dcterms:created xsi:type="dcterms:W3CDTF">2018-01-16T12:55:52Z</dcterms:created>
  <dcterms:modified xsi:type="dcterms:W3CDTF">2018-01-16T15:13:42Z</dcterms:modified>
</cp:coreProperties>
</file>